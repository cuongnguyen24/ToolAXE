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Desktop\ToolAXE\CauHinhHeThongAXE\IIS\ExcelCauHinh\"/>
    </mc:Choice>
  </mc:AlternateContent>
  <xr:revisionPtr revIDLastSave="0" documentId="13_ncr:1_{600775A8-B483-43AF-87EF-8D6F340B82FD}" xr6:coauthVersionLast="47" xr6:coauthVersionMax="47" xr10:uidLastSave="{00000000-0000-0000-0000-000000000000}"/>
  <bookViews>
    <workbookView xWindow="28680" yWindow="-120" windowWidth="29040" windowHeight="15720" xr2:uid="{00000000-000D-0000-FFFF-FFFF00000000}"/>
  </bookViews>
  <sheets>
    <sheet name="Cài đặt IIS" sheetId="2" r:id="rId1"/>
    <sheet name="Cài đặt SQL" sheetId="3" r:id="rId2"/>
    <sheet name="Cài đặt service" sheetId="4" r:id="rId3"/>
    <sheet name="Thông tin AX-DMS" sheetId="1" state="hidden"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2" i="2" l="1"/>
  <c r="C21" i="2"/>
  <c r="C22" i="2"/>
  <c r="C24" i="2"/>
  <c r="C20" i="2"/>
  <c r="C19" i="2"/>
  <c r="B15" i="2"/>
  <c r="A15" i="2"/>
  <c r="C23" i="2" l="1"/>
  <c r="G9" i="3" l="1"/>
  <c r="B15" i="3"/>
  <c r="B16" i="3"/>
  <c r="B20" i="3" l="1"/>
  <c r="B19" i="3"/>
  <c r="B18" i="3"/>
  <c r="B17" i="3"/>
  <c r="D16" i="3"/>
  <c r="E16" i="3"/>
  <c r="G16" i="3" l="1"/>
  <c r="E17" i="3"/>
  <c r="E18" i="3"/>
  <c r="E19" i="3"/>
  <c r="E20" i="3"/>
  <c r="D17" i="3"/>
  <c r="D18" i="3"/>
  <c r="D19" i="3"/>
  <c r="D20" i="3"/>
  <c r="G18" i="3" l="1"/>
  <c r="G20" i="3"/>
  <c r="G19" i="3"/>
  <c r="G17" i="3"/>
  <c r="E15" i="3"/>
  <c r="D15" i="3"/>
  <c r="G11" i="3"/>
  <c r="G15" i="3" l="1"/>
  <c r="A11" i="2"/>
  <c r="H4" i="1"/>
  <c r="H18" i="1"/>
  <c r="H19" i="1"/>
  <c r="H20" i="1"/>
  <c r="H21" i="1"/>
  <c r="H22" i="1"/>
  <c r="H23" i="1"/>
  <c r="H24" i="1"/>
  <c r="H25" i="1"/>
  <c r="H26" i="1"/>
  <c r="H31" i="1"/>
  <c r="H32" i="1"/>
  <c r="H33" i="1"/>
  <c r="H34" i="1"/>
  <c r="H35" i="1"/>
  <c r="H36" i="1"/>
  <c r="H37" i="1"/>
  <c r="H38" i="1"/>
  <c r="H39" i="1"/>
  <c r="H30" i="1"/>
  <c r="H17" i="1"/>
  <c r="H5" i="1"/>
  <c r="H6" i="1"/>
  <c r="H7" i="1"/>
  <c r="H8" i="1"/>
  <c r="H9" i="1"/>
  <c r="H10" i="1"/>
  <c r="H11" i="1"/>
  <c r="H12" i="1"/>
  <c r="H13" i="1"/>
  <c r="A34" i="2" l="1"/>
  <c r="A37" i="2"/>
  <c r="A33" i="2"/>
  <c r="A35" i="2"/>
  <c r="A36" i="2"/>
  <c r="B21" i="2"/>
  <c r="H21" i="2" s="1"/>
  <c r="C28" i="2"/>
  <c r="C33" i="2"/>
  <c r="C36" i="2"/>
  <c r="C34" i="2"/>
  <c r="C35" i="2"/>
  <c r="C37" i="2"/>
  <c r="B22" i="2"/>
  <c r="H22" i="2" s="1"/>
  <c r="B23" i="2"/>
  <c r="H23" i="2" s="1"/>
  <c r="A28" i="2"/>
  <c r="H15" i="2"/>
  <c r="A32" i="2"/>
  <c r="C32" i="2"/>
  <c r="H11" i="2"/>
  <c r="B19" i="2"/>
  <c r="H19" i="2" s="1"/>
  <c r="B20" i="2"/>
  <c r="H20" i="2" s="1"/>
  <c r="B24" i="2"/>
  <c r="H24" i="2" s="1"/>
  <c r="F15" i="2"/>
  <c r="H27" i="1"/>
  <c r="H14" i="1"/>
  <c r="H34" i="2" l="1"/>
  <c r="H37" i="2"/>
  <c r="H38" i="2"/>
  <c r="H36" i="2"/>
  <c r="H33" i="2"/>
  <c r="H35" i="2"/>
  <c r="H28" i="2"/>
</calcChain>
</file>

<file path=xl/sharedStrings.xml><?xml version="1.0" encoding="utf-8"?>
<sst xmlns="http://schemas.openxmlformats.org/spreadsheetml/2006/main" count="225" uniqueCount="105">
  <si>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</si>
  <si>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</si>
  <si>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</si>
  <si>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</si>
  <si>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</si>
  <si>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</si>
  <si>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</si>
  <si>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</si>
  <si>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</si>
  <si>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</si>
  <si>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</si>
  <si>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</si>
  <si>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</si>
  <si>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</si>
  <si>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</si>
  <si>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</si>
  <si>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</si>
  <si>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</si>
  <si>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</si>
  <si>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</si>
  <si>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</si>
  <si>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</si>
  <si>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</si>
  <si>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</si>
  <si>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</si>
  <si>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</si>
  <si>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</si>
  <si>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</si>
  <si>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</si>
  <si>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</si>
  <si>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</si>
  <si>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</si>
  <si>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</si>
  <si>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</si>
  <si>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</si>
  <si>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</si>
  <si>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</si>
  <si>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</si>
  <si>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</si>
  <si>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</si>
  <si>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</si>
  <si>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</si>
  <si>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</si>
  <si>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</si>
  <si>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</si>
  <si>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E:\BACKUP\</t>
  </si>
  <si>
    <t>Đường dẫn gốc chứa database(mdf)</t>
  </si>
  <si>
    <t>E:\DATABASE\</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</si>
  <si>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</si>
  <si>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</si>
  <si>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</si>
  <si>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</si>
  <si>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</si>
  <si>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</si>
  <si>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</si>
  <si>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</si>
  <si>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</si>
  <si>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</si>
  <si>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</si>
  <si>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</si>
  <si>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AXE_CORE_ACC.bak</t>
  </si>
  <si>
    <t>AXE_CORE_ACC</t>
  </si>
  <si>
    <t>AXE_CORE_CLOUD.bak</t>
  </si>
  <si>
    <t>AXE_CORE_CLOUD</t>
  </si>
  <si>
    <t>AXE_CORE_CNF.bak</t>
  </si>
  <si>
    <t>AXE_CORE_LOG.bak</t>
  </si>
  <si>
    <t>AXE_CORE_MSG.bak</t>
  </si>
  <si>
    <t>AXE_CORE_STG.bak</t>
  </si>
  <si>
    <t>Tên Service OCR</t>
  </si>
  <si>
    <t>ServiceAXALogic</t>
  </si>
  <si>
    <t>sc create ServiceAXALogic binPath= "C:\Web\ServiceLogic\ServiceDocpro.exe" start= auto</t>
  </si>
  <si>
    <t>Đường dẫn gốc chứa app Service OCR</t>
  </si>
  <si>
    <t>C:\Web\ServiceLogic\ServiceDocpro.exe</t>
  </si>
  <si>
    <t>Tên Service Export</t>
  </si>
  <si>
    <t>ServiceAXASendmail</t>
  </si>
  <si>
    <t>sc create ServiceAXASendmail binPath= "C:\Web\ServiceSendmail\DocProServiceSendMail.exe" start= auto</t>
  </si>
  <si>
    <t>Đường dẫn gốc chứa app Service Export</t>
  </si>
  <si>
    <t>C:\Web\ServiceSendmail\DocProServiceSendMail.exe</t>
  </si>
  <si>
    <t>Script</t>
  </si>
  <si>
    <t>MMDS-ConfigAPI</t>
  </si>
  <si>
    <t>MMDS-File</t>
  </si>
  <si>
    <t>MMDS-Hangfire</t>
  </si>
  <si>
    <t>MMDS-Lgsp</t>
  </si>
  <si>
    <t>MMDS-Log</t>
  </si>
  <si>
    <t>MMDS-Mobile</t>
  </si>
  <si>
    <t>MMDS-Notify</t>
  </si>
  <si>
    <t>MMDS-OCR</t>
  </si>
  <si>
    <t>MMDS-Portal</t>
  </si>
  <si>
    <t>MMDS-Web</t>
  </si>
  <si>
    <t>"E:\SourceWeb\DAS-MMDS\ConfigAPI"</t>
  </si>
  <si>
    <t>"E:\SourceWeb\DAS-MMDS\File"</t>
  </si>
  <si>
    <t>"E:\SourceWeb\DAS-MMDS\Hangfire"</t>
  </si>
  <si>
    <t>"E:\SourceWeb\DAS-MMDS\Lgsp"</t>
  </si>
  <si>
    <t>"E:\SourceWeb\DAS-MMDS\Log"</t>
  </si>
  <si>
    <t>"E:\SourceWeb\DAS-MMDS\Mobile"</t>
  </si>
  <si>
    <t>"E:\SourceWeb\DAS-MMDS\Notify"</t>
  </si>
  <si>
    <t>"E:\SourceWeb\DAS-MMDS\OCR"</t>
  </si>
  <si>
    <t>"E:\SourceWeb\DAS-MMDS\Portal"</t>
  </si>
  <si>
    <t>"E:\SourceWeb\DAS-MMDS\Web"</t>
  </si>
  <si>
    <t>Tạo Application Pool cho Website/Application</t>
  </si>
  <si>
    <t>AXE_Test</t>
  </si>
  <si>
    <t>AXE_Test_</t>
  </si>
  <si>
    <t>C:\Users\Admin\Desktop\Test</t>
  </si>
  <si>
    <t>http://localhost:1221</t>
  </si>
  <si>
    <t>E:\TestTool_Dựng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</si>
</sst>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0" fillId="2" borderId="1" xfId="0" applyFill="1" applyBorder="1"/>
    <xf numFmtId="0" fontId="0" fillId="0" borderId="1" xfId="0" applyBorder="1"/>
    <xf numFmtId="0" fontId="0" fillId="3" borderId="1" xfId="0" applyFill="1" applyBorder="1" applyAlignment="1">
      <alignment horizontal="center" vertical="center"/>
    </xf>
    <xf numFmtId="0" fontId="0" fillId="3" borderId="0" xfId="0" applyFill="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0" borderId="1" xfId="0" applyFont="1" applyBorder="1" applyAlignment="1">
      <alignment horizontal="left"/>
    </xf>
    <xf numFmtId="0" fontId="4" fillId="3" borderId="3" xfId="0" applyFont="1"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122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workbookViewId="0">
      <selection activeCell="B14" sqref="B14"/>
    </sheetView>
  </sheetViews>
  <sheetFormatPr defaultColWidth="8.88671875" defaultRowHeight="13.8" x14ac:dyDescent="0.25"/>
  <cols>
    <col min="1" max="1" width="34" style="11" bestFit="1" customWidth="1"/>
    <col min="2" max="2" width="49.44140625" style="11" bestFit="1" customWidth="1"/>
    <col min="3" max="3" width="26.109375" style="25" bestFit="1" customWidth="1"/>
    <col min="4" max="5" width="7.88671875" style="11" bestFit="1" customWidth="1"/>
    <col min="6" max="6" width="20.6640625" style="11" bestFit="1" customWidth="1"/>
    <col min="7" max="7" width="5.33203125" style="11" bestFit="1" customWidth="1"/>
    <col min="8" max="8" width="147" style="11" bestFit="1" customWidth="1"/>
    <col min="9" max="9" width="8.88671875" style="11"/>
    <col min="10" max="10" width="15" style="11" bestFit="1" customWidth="1"/>
    <col min="11" max="11" width="10.109375" style="11" bestFit="1" customWidth="1"/>
    <col min="12" max="12" width="36.44140625" style="11" bestFit="1" customWidth="1"/>
    <col min="13" max="13" width="19.44140625" style="11" bestFit="1" customWidth="1"/>
    <col min="14" max="16384" width="8.88671875" style="11"/>
  </cols>
  <sheetData>
    <row r="1" spans="1:10" x14ac:dyDescent="0.25">
      <c r="A1" s="39" t="s">
        <v>0</v>
      </c>
      <c r="B1" s="39"/>
      <c r="C1" s="39"/>
      <c r="G1" s="12"/>
      <c r="H1" s="39"/>
      <c r="I1" s="39"/>
      <c r="J1" s="39"/>
    </row>
    <row r="2" spans="1:10" x14ac:dyDescent="0.25">
      <c r="A2" s="13" t="s">
        <v>1</v>
      </c>
      <c r="B2" s="13" t="s">
        <v>2</v>
      </c>
      <c r="C2" s="14" t="s">
        <v>3</v>
      </c>
      <c r="G2" s="12"/>
      <c r="H2" s="40"/>
    </row>
    <row r="3" spans="1:10" x14ac:dyDescent="0.25">
      <c r="A3" s="15" t="s">
        <v>4</v>
      </c>
      <c r="B3" s="16" t="s">
        <v>100</v>
      </c>
      <c r="C3" s="17"/>
      <c r="G3" s="12"/>
      <c r="H3" s="41"/>
    </row>
    <row r="4" spans="1:10" x14ac:dyDescent="0.25">
      <c r="A4" s="15" t="s">
        <v>5</v>
      </c>
      <c r="B4" s="16" t="s">
        <v>104</v>
      </c>
      <c r="C4" s="17" t="s">
        <v>6</v>
      </c>
      <c r="G4" s="12"/>
      <c r="H4" s="41"/>
    </row>
    <row r="5" spans="1:10" x14ac:dyDescent="0.25">
      <c r="A5" s="15" t="s">
        <v>7</v>
      </c>
      <c r="B5" s="16" t="s">
        <v>101</v>
      </c>
      <c r="C5" s="17"/>
      <c r="G5" s="12"/>
      <c r="H5" s="41"/>
    </row>
    <row r="6" spans="1:10" ht="14.4" x14ac:dyDescent="0.3">
      <c r="A6" s="18" t="s">
        <v>8</v>
      </c>
      <c r="B6" s="10" t="s">
        <v>103</v>
      </c>
      <c r="C6" s="17" t="s">
        <v>9</v>
      </c>
      <c r="G6" s="12"/>
      <c r="H6" s="41"/>
    </row>
    <row r="7" spans="1:10" ht="14.4" x14ac:dyDescent="0.3">
      <c r="A7" s="18" t="s">
        <v>10</v>
      </c>
      <c r="B7" s="10" t="s">
        <v>102</v>
      </c>
      <c r="C7" s="17" t="s">
        <v>9</v>
      </c>
      <c r="G7" s="12"/>
      <c r="H7" s="41"/>
    </row>
    <row r="8" spans="1:10" x14ac:dyDescent="0.25">
      <c r="A8" s="18" t="s">
        <v>11</v>
      </c>
      <c r="B8" s="19" t="s">
        <v>12</v>
      </c>
      <c r="C8" s="17"/>
      <c r="G8" s="12"/>
      <c r="H8" s="42"/>
    </row>
    <row r="9" spans="1:10" x14ac:dyDescent="0.25">
      <c r="A9" s="47" t="s">
        <v>13</v>
      </c>
      <c r="B9" s="48"/>
      <c r="C9" s="48"/>
      <c r="D9" s="48"/>
      <c r="E9" s="48"/>
      <c r="F9" s="48"/>
      <c r="G9" s="12"/>
      <c r="H9" s="20"/>
    </row>
    <row r="10" spans="1:10" x14ac:dyDescent="0.25">
      <c r="A10" s="13" t="s">
        <v>14</v>
      </c>
      <c r="B10" s="13" t="s">
        <v>15</v>
      </c>
      <c r="C10" s="14" t="s">
        <v>16</v>
      </c>
      <c r="G10" s="12"/>
      <c r="H10" s="13"/>
    </row>
    <row r="11" spans="1:10" x14ac:dyDescent="0.25">
      <c r="A11" s="21" t="str">
        <f>B3&amp;"-Web"</f>
        <v>AXE_Test-Web</v>
      </c>
      <c r="B11" s="21" t="s">
        <v>17</v>
      </c>
      <c r="C11" s="17" t="s">
        <v>18</v>
      </c>
      <c r="G11" s="12"/>
      <c r="H11" s="21" t="str">
        <f>IF(A11="","",$B$8&amp;" add apppool /name:"&amp;A11&amp;" /managedRuntimeVersion:"&amp;B11&amp;" /managedPipelineMode:"&amp;C11&amp;"")</f>
        <v>c:\Windows\system32\inetsrv\appcmd add apppool /name:AXE_Test-Web /managedRuntimeVersion:v4.0 /managedPipelineMode:Integrated</v>
      </c>
    </row>
    <row r="12" spans="1:10" x14ac:dyDescent="0.25">
      <c r="A12" s="21"/>
      <c r="B12" s="21"/>
      <c r="C12" s="17"/>
      <c r="G12" s="12"/>
      <c r="H12" s="21"/>
    </row>
    <row r="13" spans="1:10" x14ac:dyDescent="0.25">
      <c r="A13" s="45" t="s">
        <v>19</v>
      </c>
      <c r="B13" s="46"/>
      <c r="C13" s="46"/>
      <c r="D13" s="46"/>
      <c r="E13" s="46"/>
      <c r="F13" s="50"/>
      <c r="G13" s="12"/>
      <c r="H13" s="13"/>
    </row>
    <row r="14" spans="1:10" x14ac:dyDescent="0.25">
      <c r="A14" s="13" t="s">
        <v>20</v>
      </c>
      <c r="B14" s="13" t="s">
        <v>21</v>
      </c>
      <c r="C14" s="14" t="s">
        <v>22</v>
      </c>
      <c r="D14" s="13" t="s">
        <v>23</v>
      </c>
      <c r="E14" s="13" t="s">
        <v>24</v>
      </c>
      <c r="F14" s="13" t="s">
        <v>14</v>
      </c>
      <c r="G14" s="12"/>
      <c r="H14" s="13"/>
    </row>
    <row r="15" spans="1:10" x14ac:dyDescent="0.25">
      <c r="A15" s="21" t="str">
        <f>B5&amp;"Web"</f>
        <v>AXE_Test_Web</v>
      </c>
      <c r="B15" s="21" t="str">
        <f>$B$4&amp;"AXE-Dash"</f>
        <v>E:\TestTool_Dựng web\AXE-Dash</v>
      </c>
      <c r="C15" s="17" t="s">
        <v>25</v>
      </c>
      <c r="D15" s="16">
        <v>1221</v>
      </c>
      <c r="E15" s="21"/>
      <c r="F15" s="21" t="str">
        <f>A11</f>
        <v>AXE_Test-Web</v>
      </c>
      <c r="G15" s="12"/>
      <c r="H15" s="21" t="str">
        <f>IF(A15="","",$B$8&amp;" add site /name:"""&amp;A15&amp;""" /physicalPath:"&amp;B15&amp;" /bindings:"&amp;C15&amp;"/*:"&amp;D15&amp;":"&amp;E15&amp;"" )</f>
        <v>c:\Windows\system32\inetsrv\appcmd add site /name:"AXE_Test_Web" /physicalPath:E:\TestTool_Dựng web\AXE-Dash /bindings:http/*:1221:</v>
      </c>
    </row>
    <row r="16" spans="1:10" x14ac:dyDescent="0.25">
      <c r="A16" s="21"/>
      <c r="B16" s="21"/>
      <c r="C16" s="17"/>
      <c r="D16" s="21"/>
      <c r="E16" s="21"/>
      <c r="F16" s="21"/>
      <c r="G16" s="12"/>
      <c r="H16" s="21"/>
    </row>
    <row r="17" spans="1:8" x14ac:dyDescent="0.25">
      <c r="A17" s="45" t="s">
        <v>26</v>
      </c>
      <c r="B17" s="46"/>
      <c r="C17" s="46"/>
      <c r="D17" s="46"/>
      <c r="E17" s="46"/>
      <c r="F17" s="46"/>
      <c r="G17" s="12"/>
      <c r="H17" s="13"/>
    </row>
    <row r="18" spans="1:8" x14ac:dyDescent="0.25">
      <c r="A18" s="13" t="s">
        <v>27</v>
      </c>
      <c r="B18" s="13" t="s">
        <v>28</v>
      </c>
      <c r="C18" s="14" t="s">
        <v>21</v>
      </c>
      <c r="D18" s="22" t="s">
        <v>29</v>
      </c>
      <c r="E18" s="13" t="s">
        <v>30</v>
      </c>
      <c r="F18" s="13"/>
      <c r="G18" s="12"/>
      <c r="H18" s="13"/>
    </row>
    <row r="19" spans="1:8" x14ac:dyDescent="0.25">
      <c r="A19" s="21" t="s">
        <v>31</v>
      </c>
      <c r="B19" s="21" t="str">
        <f t="shared" ref="B19:B24" si="0">$A$15</f>
        <v>AXE_Test_Web</v>
      </c>
      <c r="C19" s="17" t="str">
        <f>$B$4&amp;"AXE-Acc"</f>
        <v>E:\TestTool_Dựng web\AXE-Acc</v>
      </c>
      <c r="D19" s="22" t="s">
        <v>32</v>
      </c>
      <c r="E19" s="49" t="s">
        <v>33</v>
      </c>
      <c r="F19" s="49"/>
      <c r="G19" s="12"/>
      <c r="H19" s="21" t="str">
        <f t="shared" ref="H19:H24" si="1">IF(D19="","",$B$8&amp;" add app  /site.name:"""&amp;B19&amp;""" /path:/"&amp;A19&amp;" /physicalPath:"&amp;C19&amp;"")</f>
        <v>c:\Windows\system32\inetsrv\appcmd add app  /site.name:"AXE_Test_Web" /path:/login /physicalPath:E:\TestTool_Dựng web\AXE-Acc</v>
      </c>
    </row>
    <row r="20" spans="1:8" ht="27.6" x14ac:dyDescent="0.25">
      <c r="A20" s="21" t="s">
        <v>34</v>
      </c>
      <c r="B20" s="21" t="str">
        <f t="shared" si="0"/>
        <v>AXE_Test_Web</v>
      </c>
      <c r="C20" s="17" t="str">
        <f>$B$4&amp;"AXE-Admin"</f>
        <v>E:\TestTool_Dựng web\AXE-Admin</v>
      </c>
      <c r="D20" s="22" t="s">
        <v>32</v>
      </c>
      <c r="E20" s="49" t="s">
        <v>33</v>
      </c>
      <c r="F20" s="49"/>
      <c r="G20" s="12"/>
      <c r="H20" s="21" t="str">
        <f t="shared" si="1"/>
        <v>c:\Windows\system32\inetsrv\appcmd add app  /site.name:"AXE_Test_Web" /path:/admin /physicalPath:E:\TestTool_Dựng web\AXE-Admin</v>
      </c>
    </row>
    <row r="21" spans="1:8" ht="27.6" x14ac:dyDescent="0.25">
      <c r="A21" s="21" t="s">
        <v>35</v>
      </c>
      <c r="B21" s="21" t="str">
        <f t="shared" si="0"/>
        <v>AXE_Test_Web</v>
      </c>
      <c r="C21" s="17" t="str">
        <f>$B$4&amp;"AXE-ResumUploader"</f>
        <v>E:\TestTool_Dựng web\AXE-ResumUploader</v>
      </c>
      <c r="D21" s="22" t="s">
        <v>32</v>
      </c>
      <c r="E21" s="49" t="s">
        <v>33</v>
      </c>
      <c r="F21" s="49"/>
      <c r="G21" s="12"/>
      <c r="H21" s="21" t="str">
        <f t="shared" si="1"/>
        <v>c:\Windows\system32\inetsrv\appcmd add app  /site.name:"AXE_Test_Web" /path:/resumable /physicalPath:E:\TestTool_Dựng web\AXE-ResumUploader</v>
      </c>
    </row>
    <row r="22" spans="1:8" ht="27.6" x14ac:dyDescent="0.25">
      <c r="A22" s="21" t="s">
        <v>36</v>
      </c>
      <c r="B22" s="21" t="str">
        <f t="shared" si="0"/>
        <v>AXE_Test_Web</v>
      </c>
      <c r="C22" s="17" t="str">
        <f>$B$4&amp;"AXE-Uploader"</f>
        <v>E:\TestTool_Dựng web\AXE-Uploader</v>
      </c>
      <c r="D22" s="22" t="s">
        <v>32</v>
      </c>
      <c r="E22" s="49" t="s">
        <v>33</v>
      </c>
      <c r="F22" s="49"/>
      <c r="G22" s="12"/>
      <c r="H22" s="21" t="str">
        <f t="shared" si="1"/>
        <v>c:\Windows\system32\inetsrv\appcmd add app  /site.name:"AXE_Test_Web" /path:/uploader /physicalPath:E:\TestTool_Dựng web\AXE-Uploader</v>
      </c>
    </row>
    <row r="23" spans="1:8" x14ac:dyDescent="0.25">
      <c r="A23" s="21" t="s">
        <v>37</v>
      </c>
      <c r="B23" s="21" t="str">
        <f t="shared" si="0"/>
        <v>AXE_Test_Web</v>
      </c>
      <c r="C23" s="17" t="str">
        <f>$B$7</f>
        <v>C:\Users\Admin\Desktop\Test</v>
      </c>
      <c r="D23" s="22" t="s">
        <v>32</v>
      </c>
      <c r="E23" s="49" t="s">
        <v>33</v>
      </c>
      <c r="F23" s="49"/>
      <c r="G23" s="12"/>
      <c r="H23" s="21" t="str">
        <f t="shared" si="1"/>
        <v>c:\Windows\system32\inetsrv\appcmd add app  /site.name:"AXE_Test_Web" /path:/storage /physicalPath:C:\Users\Admin\Desktop\Test</v>
      </c>
    </row>
    <row r="24" spans="1:8" ht="27.6" x14ac:dyDescent="0.25">
      <c r="A24" s="21" t="s">
        <v>38</v>
      </c>
      <c r="B24" s="21" t="str">
        <f t="shared" si="0"/>
        <v>AXE_Test_Web</v>
      </c>
      <c r="C24" s="17" t="str">
        <f>$B$4&amp;"AXE-SoHoa"</f>
        <v>E:\TestTool_Dựng web\AXE-SoHoa</v>
      </c>
      <c r="D24" s="16" t="s">
        <v>32</v>
      </c>
      <c r="E24" s="49" t="s">
        <v>39</v>
      </c>
      <c r="F24" s="49"/>
      <c r="G24" s="12"/>
      <c r="H24" s="21" t="str">
        <f t="shared" si="1"/>
        <v>c:\Windows\system32\inetsrv\appcmd add app  /site.name:"AXE_Test_Web" /path:/doc /physicalPath:E:\TestTool_Dựng web\AXE-SoHoa</v>
      </c>
    </row>
    <row r="25" spans="1:8" x14ac:dyDescent="0.25">
      <c r="A25" s="21"/>
      <c r="B25" s="21"/>
      <c r="C25" s="17"/>
      <c r="D25" s="21"/>
      <c r="E25" s="49"/>
      <c r="F25" s="49"/>
      <c r="G25" s="12"/>
      <c r="H25" s="21"/>
    </row>
    <row r="26" spans="1:8" x14ac:dyDescent="0.25">
      <c r="A26" s="47" t="s">
        <v>40</v>
      </c>
      <c r="B26" s="48"/>
      <c r="C26" s="48"/>
      <c r="D26" s="48"/>
      <c r="E26" s="48"/>
      <c r="F26" s="48"/>
      <c r="H26" s="13"/>
    </row>
    <row r="27" spans="1:8" x14ac:dyDescent="0.25">
      <c r="A27" s="13" t="s">
        <v>28</v>
      </c>
      <c r="B27" s="13" t="s">
        <v>41</v>
      </c>
      <c r="C27" s="14" t="s">
        <v>14</v>
      </c>
      <c r="H27" s="13"/>
    </row>
    <row r="28" spans="1:8" x14ac:dyDescent="0.25">
      <c r="A28" s="21" t="str">
        <f>$A$15</f>
        <v>AXE_Test_Web</v>
      </c>
      <c r="B28" s="21"/>
      <c r="C28" s="17" t="str">
        <f>$A$11</f>
        <v>AXE_Test-Web</v>
      </c>
      <c r="H28" s="21" t="str">
        <f>IF(C28="","",$B$8&amp;" set app "&amp;A28&amp;"/  /"&amp;"applicationPool:"&amp;C28&amp;"")</f>
        <v>c:\Windows\system32\inetsrv\appcmd set app AXE_Test_Web/  /applicationPool:AXE_Test-Web</v>
      </c>
    </row>
    <row r="29" spans="1:8" x14ac:dyDescent="0.25">
      <c r="A29" s="23"/>
      <c r="B29" s="23"/>
      <c r="C29" s="24"/>
      <c r="H29" s="21"/>
    </row>
    <row r="30" spans="1:8" x14ac:dyDescent="0.25">
      <c r="A30" s="39" t="s">
        <v>42</v>
      </c>
      <c r="B30" s="39"/>
      <c r="C30" s="39"/>
      <c r="D30" s="39"/>
      <c r="E30" s="39"/>
      <c r="F30" s="39"/>
      <c r="H30" s="21"/>
    </row>
    <row r="31" spans="1:8" x14ac:dyDescent="0.25">
      <c r="A31" s="13" t="s">
        <v>28</v>
      </c>
      <c r="B31" s="13" t="s">
        <v>43</v>
      </c>
      <c r="C31" s="14" t="s">
        <v>14</v>
      </c>
      <c r="D31" s="44" t="s">
        <v>3</v>
      </c>
      <c r="E31" s="44"/>
      <c r="F31" s="44"/>
      <c r="H31" s="21"/>
    </row>
    <row r="32" spans="1:8" x14ac:dyDescent="0.25">
      <c r="A32" s="21" t="str">
        <f>$A$15</f>
        <v>AXE_Test_Web</v>
      </c>
      <c r="B32" s="21" t="s">
        <v>31</v>
      </c>
      <c r="C32" s="17" t="str">
        <f>$A$11</f>
        <v>AXE_Test-Web</v>
      </c>
      <c r="D32" s="49"/>
      <c r="E32" s="49"/>
      <c r="F32" s="49"/>
      <c r="H32" s="21" t="str">
        <f>IF(C32="","",$B$8&amp;" set app "&amp;A32&amp;"/"&amp;B32&amp;"  /"&amp;"applicationPool:"&amp;C32&amp;"")</f>
        <v>c:\Windows\system32\inetsrv\appcmd set app AXE_Test_Web/login  /applicationPool:AXE_Test-Web</v>
      </c>
    </row>
    <row r="33" spans="1:8" x14ac:dyDescent="0.25">
      <c r="A33" s="21" t="str">
        <f t="shared" ref="A33:A37" si="2">$A$15</f>
        <v>AXE_Test_Web</v>
      </c>
      <c r="B33" s="21" t="s">
        <v>34</v>
      </c>
      <c r="C33" s="17" t="str">
        <f t="shared" ref="C33:C37" si="3">$A$11</f>
        <v>AXE_Test-Web</v>
      </c>
      <c r="D33" s="43"/>
      <c r="E33" s="43"/>
      <c r="F33" s="43"/>
      <c r="H33" s="21" t="str">
        <f>IF(C33="","",$B$8&amp;" set app "&amp;A33&amp;"/"&amp;B33&amp;"  /"&amp;"applicationPool:"&amp;C33&amp;"")</f>
        <v>c:\Windows\system32\inetsrv\appcmd set app AXE_Test_Web/admin  /applicationPool:AXE_Test-Web</v>
      </c>
    </row>
    <row r="34" spans="1:8" x14ac:dyDescent="0.25">
      <c r="A34" s="21" t="str">
        <f t="shared" si="2"/>
        <v>AXE_Test_Web</v>
      </c>
      <c r="B34" s="21" t="s">
        <v>35</v>
      </c>
      <c r="C34" s="17" t="str">
        <f t="shared" si="3"/>
        <v>AXE_Test-Web</v>
      </c>
      <c r="D34" s="43"/>
      <c r="E34" s="43"/>
      <c r="F34" s="43"/>
      <c r="H34" s="21" t="str">
        <f>IF(C34="","",$B$8&amp;" set app "&amp;A34&amp;"/"&amp;B34&amp;"  /"&amp;"applicationPool:"&amp;C34&amp;"")</f>
        <v>c:\Windows\system32\inetsrv\appcmd set app AXE_Test_Web/resumable  /applicationPool:AXE_Test-Web</v>
      </c>
    </row>
    <row r="35" spans="1:8" x14ac:dyDescent="0.25">
      <c r="A35" s="21" t="str">
        <f t="shared" si="2"/>
        <v>AXE_Test_Web</v>
      </c>
      <c r="B35" s="21" t="s">
        <v>36</v>
      </c>
      <c r="C35" s="17" t="str">
        <f t="shared" si="3"/>
        <v>AXE_Test-Web</v>
      </c>
      <c r="D35" s="43"/>
      <c r="E35" s="43"/>
      <c r="F35" s="43"/>
      <c r="H35" s="21" t="str">
        <f>IF(C35="","",$B$8&amp;" set app "&amp;A35&amp;"/"&amp;B35&amp;"  /"&amp;"applicationPool:"&amp;C35&amp;"")</f>
        <v>c:\Windows\system32\inetsrv\appcmd set app AXE_Test_Web/uploader  /applicationPool:AXE_Test-Web</v>
      </c>
    </row>
    <row r="36" spans="1:8" x14ac:dyDescent="0.25">
      <c r="A36" s="21" t="str">
        <f t="shared" si="2"/>
        <v>AXE_Test_Web</v>
      </c>
      <c r="B36" s="21" t="s">
        <v>37</v>
      </c>
      <c r="C36" s="17" t="str">
        <f t="shared" si="3"/>
        <v>AXE_Test-Web</v>
      </c>
      <c r="D36" s="43"/>
      <c r="E36" s="43"/>
      <c r="F36" s="43"/>
      <c r="H36" s="21" t="str">
        <f>IF(C36="","","c:\Windows\system32\inetsrv\appcmd set app "&amp;A36&amp;"/"&amp;B36&amp;"  /"&amp;"applicationPool:"&amp;C36&amp;"")</f>
        <v>c:\Windows\system32\inetsrv\appcmd set app AXE_Test_Web/storage  /applicationPool:AXE_Test-Web</v>
      </c>
    </row>
    <row r="37" spans="1:8" x14ac:dyDescent="0.25">
      <c r="A37" s="21" t="str">
        <f t="shared" si="2"/>
        <v>AXE_Test_Web</v>
      </c>
      <c r="B37" s="21" t="s">
        <v>38</v>
      </c>
      <c r="C37" s="17" t="str">
        <f t="shared" si="3"/>
        <v>AXE_Test-Web</v>
      </c>
      <c r="D37" s="36"/>
      <c r="E37" s="37"/>
      <c r="F37" s="38"/>
      <c r="H37" s="21" t="str">
        <f t="shared" ref="H37:H38" si="4">IF(C37="","","c:\Windows\system32\inetsrv\appcmd set app "&amp;A37&amp;"/"&amp;B37&amp;"  /"&amp;"applicationPool:"&amp;C37&amp;"")</f>
        <v>c:\Windows\system32\inetsrv\appcmd set app AXE_Test_Web/doc  /applicationPool:AXE_Test-Web</v>
      </c>
    </row>
    <row r="38" spans="1:8" x14ac:dyDescent="0.25">
      <c r="A38" s="21"/>
      <c r="B38" s="21"/>
      <c r="C38" s="17"/>
      <c r="D38" s="36"/>
      <c r="E38" s="37"/>
      <c r="F38" s="38"/>
      <c r="H38" s="21" t="str">
        <f t="shared" si="4"/>
        <v/>
      </c>
    </row>
  </sheetData>
  <mergeCells count="23">
    <mergeCell ref="E25:F25"/>
    <mergeCell ref="E20:F20"/>
    <mergeCell ref="A9:F9"/>
    <mergeCell ref="A13:F13"/>
    <mergeCell ref="E24:F24"/>
    <mergeCell ref="E22:F22"/>
    <mergeCell ref="E23:F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zoomScaleNormal="100" workbookViewId="0">
      <selection activeCell="G30" sqref="G30"/>
    </sheetView>
  </sheetViews>
  <sheetFormatPr defaultColWidth="8.88671875" defaultRowHeight="13.8" x14ac:dyDescent="0.25"/>
  <cols>
    <col min="1" max="1" width="34.44140625" style="11" bestFit="1" customWidth="1"/>
    <col min="2" max="2" width="37.109375" style="11" bestFit="1" customWidth="1"/>
    <col min="3" max="3" width="23.5546875" style="11" bestFit="1" customWidth="1"/>
    <col min="4" max="4" width="42.44140625" style="11" bestFit="1" customWidth="1"/>
    <col min="5" max="5" width="41.109375" style="11" bestFit="1" customWidth="1"/>
    <col min="6" max="6" width="5.33203125" style="11" bestFit="1" customWidth="1"/>
    <col min="7" max="7" width="255.6640625" style="11" bestFit="1" customWidth="1"/>
    <col min="8" max="8" width="10.109375" style="11" bestFit="1" customWidth="1"/>
    <col min="9" max="9" width="36.44140625" style="11" bestFit="1" customWidth="1"/>
    <col min="10" max="10" width="19.44140625" style="11" bestFit="1" customWidth="1"/>
    <col min="11" max="16384" width="8.88671875" style="11"/>
  </cols>
  <sheetData>
    <row r="1" spans="1:7" x14ac:dyDescent="0.25">
      <c r="A1" s="39" t="s">
        <v>0</v>
      </c>
      <c r="B1" s="39"/>
      <c r="C1" s="39"/>
      <c r="D1" s="26"/>
      <c r="E1" s="26"/>
      <c r="F1" s="12"/>
      <c r="G1" s="20"/>
    </row>
    <row r="2" spans="1:7" x14ac:dyDescent="0.25">
      <c r="A2" s="13" t="s">
        <v>1</v>
      </c>
      <c r="B2" s="13" t="s">
        <v>2</v>
      </c>
      <c r="C2" s="13" t="s">
        <v>3</v>
      </c>
      <c r="D2" s="31"/>
      <c r="E2" s="31"/>
      <c r="F2" s="12"/>
      <c r="G2" s="40"/>
    </row>
    <row r="3" spans="1:7" x14ac:dyDescent="0.25">
      <c r="A3" s="15" t="s">
        <v>44</v>
      </c>
      <c r="B3" s="16" t="s">
        <v>45</v>
      </c>
      <c r="C3" s="21"/>
      <c r="F3" s="12"/>
      <c r="G3" s="41"/>
    </row>
    <row r="4" spans="1:7" x14ac:dyDescent="0.25">
      <c r="A4" s="15" t="s">
        <v>46</v>
      </c>
      <c r="B4" s="16" t="s">
        <v>47</v>
      </c>
      <c r="C4" s="21"/>
      <c r="F4" s="12"/>
      <c r="G4" s="41"/>
    </row>
    <row r="5" spans="1:7" x14ac:dyDescent="0.25">
      <c r="A5" s="15" t="s">
        <v>48</v>
      </c>
      <c r="B5" s="16" t="s">
        <v>49</v>
      </c>
      <c r="C5" s="21"/>
      <c r="F5" s="12"/>
      <c r="G5" s="41"/>
    </row>
    <row r="6" spans="1:7" x14ac:dyDescent="0.25">
      <c r="A6" s="18" t="s">
        <v>50</v>
      </c>
      <c r="B6" s="32">
        <v>123456</v>
      </c>
      <c r="C6" s="21"/>
      <c r="F6" s="12"/>
      <c r="G6" s="41"/>
    </row>
    <row r="7" spans="1:7" x14ac:dyDescent="0.25">
      <c r="A7" s="47" t="s">
        <v>51</v>
      </c>
      <c r="B7" s="48"/>
      <c r="C7" s="48"/>
      <c r="D7" s="26"/>
      <c r="E7" s="26"/>
      <c r="F7" s="12"/>
      <c r="G7" s="20"/>
    </row>
    <row r="8" spans="1:7" x14ac:dyDescent="0.25">
      <c r="A8" s="13" t="s">
        <v>52</v>
      </c>
      <c r="B8" s="13" t="s">
        <v>50</v>
      </c>
      <c r="C8" s="13"/>
      <c r="D8" s="31"/>
      <c r="E8" s="31"/>
      <c r="F8" s="12"/>
      <c r="G8" s="13"/>
    </row>
    <row r="9" spans="1:7" x14ac:dyDescent="0.25">
      <c r="A9" s="21" t="s">
        <v>49</v>
      </c>
      <c r="B9" s="21">
        <v>123456</v>
      </c>
      <c r="C9" s="21"/>
      <c r="F9" s="12"/>
      <c r="G9" s="21" t="str">
        <f>IF(D2="","","CREATE LOGIN "&amp;A9&amp;" WITH PASSWORD = '"&amp;B9&amp;"', CHECK_POLICY = OFF,           CHECK_EXPIRATION = OFF;")</f>
        <v/>
      </c>
    </row>
    <row r="10" spans="1:7" x14ac:dyDescent="0.25">
      <c r="A10" s="47" t="s">
        <v>53</v>
      </c>
      <c r="B10" s="48"/>
      <c r="C10" s="48"/>
      <c r="D10" s="26"/>
      <c r="E10" s="26"/>
      <c r="F10" s="12"/>
      <c r="G10" s="21"/>
    </row>
    <row r="11" spans="1:7" x14ac:dyDescent="0.25">
      <c r="B11" s="21"/>
      <c r="C11" s="21"/>
      <c r="D11" s="21"/>
      <c r="F11" s="12"/>
      <c r="G11" s="21" t="str">
        <f>"DECLARE @DataLogicalName NVARCHAR(128);DECLARE @LogLogicalName NVARCHAR(128);"</f>
        <v>DECLARE @DataLogicalName NVARCHAR(128);DECLARE @LogLogicalName NVARCHAR(128);</v>
      </c>
    </row>
    <row r="12" spans="1:7" x14ac:dyDescent="0.25">
      <c r="A12" s="33"/>
      <c r="B12" s="34"/>
      <c r="C12" s="34"/>
      <c r="F12" s="12"/>
      <c r="G12" s="21" t="s">
        <v>54</v>
      </c>
    </row>
    <row r="13" spans="1:7" x14ac:dyDescent="0.25">
      <c r="A13" s="45" t="s">
        <v>55</v>
      </c>
      <c r="B13" s="46"/>
      <c r="C13" s="46"/>
      <c r="D13" s="26"/>
      <c r="E13" s="26"/>
      <c r="F13" s="12"/>
      <c r="G13" s="13"/>
    </row>
    <row r="14" spans="1:7" x14ac:dyDescent="0.25">
      <c r="A14" s="27" t="s">
        <v>56</v>
      </c>
      <c r="B14" s="27" t="s">
        <v>21</v>
      </c>
      <c r="C14" s="27" t="s">
        <v>57</v>
      </c>
      <c r="D14" s="27" t="s">
        <v>58</v>
      </c>
      <c r="E14" s="27" t="s">
        <v>59</v>
      </c>
      <c r="F14" s="12"/>
      <c r="G14" s="13"/>
    </row>
    <row r="15" spans="1:7" x14ac:dyDescent="0.25">
      <c r="A15" s="28" t="s">
        <v>60</v>
      </c>
      <c r="B15" s="27" t="str">
        <f>B3&amp;A15</f>
        <v>E:\BACKUP\AXE_CORE_ACC.bak</v>
      </c>
      <c r="C15" s="29" t="s">
        <v>61</v>
      </c>
      <c r="D15" s="30" t="str">
        <f>$B$4&amp;$C15&amp;".mdf"</f>
        <v>E:\DATABASE\AXE_CORE_ACC.mdf</v>
      </c>
      <c r="E15" s="30" t="str">
        <f>$B$4&amp;$C15&amp;".ldf"</f>
        <v>E:\DATABASE\AXE_CORE_ACC.ldf</v>
      </c>
      <c r="F15" s="12"/>
      <c r="G15"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''E:\BACKUP\AXE_CORE_ACC.bak''');
UPDATE #FileList SET PhysicalPath = 'E:\BACKUP\AXE_CORE_ACC.bak' WHERE PhysicalPath IS NULL;
set @DataLogicalName = (select LogicalName FROM #FileList WHERE Type = 'D' AND PhysicalPath = 'E:\BACKUP\AXE_CORE_ACC.bak');
set @LogLogicalName = (select LogicalName FROM #FileList WHERE Type = 'L' AND PhysicalPath = 'E:\BACKUP\AXE_CORE_ACC.bak');
RESTORE DATABASE AXE_CORE_ACC FROM DISK = 'E:\BACKUP\AXE_CORE_ACC.bak'
WITH 
MOVE @DataLogicalName TO 'E:\DATABASE\AXE_CORE_ACC.mdf',
MOVE @LogLogicalName TO 'E:\DATABASE\AXE_CORE_ACC.ldf', REPLACE;EXEC AXE_CORE_ACC.sys.sp_executesql N'CREATE USER dev FOR LOGIN dev';
EXEC AXE_CORE_ACC.sys.sp_executesql N'ALTER ROLE db_owner ADD MEMBER dev';</v>
      </c>
    </row>
    <row r="16" spans="1:7" x14ac:dyDescent="0.25">
      <c r="A16" s="28" t="s">
        <v>62</v>
      </c>
      <c r="B16" s="30" t="str">
        <f>B3&amp;A16</f>
        <v>E:\BACKUP\AXE_CORE_CLOUD.bak</v>
      </c>
      <c r="C16" s="29" t="s">
        <v>63</v>
      </c>
      <c r="D16" s="30" t="str">
        <f>$B$4&amp;$C16&amp;".mdf"</f>
        <v>E:\DATABASE\AXE_CORE_CLOUD.mdf</v>
      </c>
      <c r="E16" s="30" t="str">
        <f>$B$4&amp;$C16&amp;".ldf"</f>
        <v>E:\DATABASE\AXE_CORE_CLOUD.ldf</v>
      </c>
      <c r="F16" s="12"/>
      <c r="G16"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''E:\BACKUP\AXE_CORE_CLOUD.bak''');
UPDATE #FileList SET PhysicalPath = 'E:\BACKUP\AXE_CORE_CLOUD.bak' WHERE PhysicalPath IS NULL;
set @DataLogicalName = (select LogicalName FROM #FileList WHERE Type = 'D' AND PhysicalPath = 'E:\BACKUP\AXE_CORE_CLOUD.bak');
set @LogLogicalName = (select LogicalName FROM #FileList WHERE Type = 'L' AND PhysicalPath = 'E:\BACKUP\AXE_CORE_CLOUD.bak');
RESTORE DATABASE AXE_CORE_CLOUD FROM DISK = 'E:\BACKUP\AXE_CORE_CLOUD.bak'
WITH 
MOVE @DataLogicalName TO 'E:\DATABASE\AXE_CORE_CLOUD.mdf',
MOVE @LogLogicalName TO 'E:\DATABASE\AXE_CORE_CLOUD.ldf', REPLACE;EXEC AXE_CORE_CLOUD.sys.sp_executesql N'CREATE USER dev FOR LOGIN dev';
EXEC AXE_CORE_CLOUD.sys.sp_executesql N'ALTER ROLE db_owner ADD MEMBER dev';</v>
      </c>
    </row>
    <row r="17" spans="1:7" x14ac:dyDescent="0.25">
      <c r="A17" s="28" t="s">
        <v>64</v>
      </c>
      <c r="B17" s="30" t="str">
        <f>B3&amp;A17</f>
        <v>E:\BACKUP\AXE_CORE_CNF.bak</v>
      </c>
      <c r="C17" s="28" t="s">
        <v>64</v>
      </c>
      <c r="D17" s="30" t="str">
        <f t="shared" ref="D17:D20" si="0">$B$4&amp;$C17&amp;".mdf"</f>
        <v>E:\DATABASE\AXE_CORE_CNF.bak.mdf</v>
      </c>
      <c r="E17" s="30" t="str">
        <f t="shared" ref="E17:E20" si="1">$B$4&amp;$C17&amp;".ldf"</f>
        <v>E:\DATABASE\AXE_CORE_CNF.bak.ldf</v>
      </c>
      <c r="F17" s="12"/>
      <c r="G17" s="35"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''E:\BACKUP\AXE_CORE_CNF.bak''');
UPDATE #FileList SET PhysicalPath = 'E:\BACKUP\AXE_CORE_CNF.bak' WHERE PhysicalPath IS NULL;
set @DataLogicalName = (select LogicalName FROM #FileList WHERE Type = 'D' AND PhysicalPath = 'E:\BACKUP\AXE_CORE_CNF.bak');
set @LogLogicalName = (select LogicalName FROM #FileList WHERE Type = 'L' AND PhysicalPath = 'E:\BACKUP\AXE_CORE_CNF.bak');
RESTORE DATABASE AXE_CORE_CNF.bak FROM DISK = 'E:\BACKUP\AXE_CORE_CNF.bak'
WITH 
MOVE @DataLogicalName TO 'E:\DATABASE\AXE_CORE_CNF.bak.mdf',
MOVE @LogLogicalName TO 'E:\DATABASE\AXE_CORE_CNF.bak.ldf', REPLACE;EXEC AXE_CORE_CNF.bak.sys.sp_executesql N'CREATE USER dev FOR LOGIN dev';
EXEC AXE_CORE_CNF.bak.sys.sp_executesql N'ALTER ROLE db_owner ADD MEMBER dev';</v>
      </c>
    </row>
    <row r="18" spans="1:7" x14ac:dyDescent="0.25">
      <c r="A18" s="28" t="s">
        <v>65</v>
      </c>
      <c r="B18" s="30" t="str">
        <f>B3&amp;A18</f>
        <v>E:\BACKUP\AXE_CORE_LOG.bak</v>
      </c>
      <c r="C18" s="28" t="s">
        <v>65</v>
      </c>
      <c r="D18" s="30" t="str">
        <f t="shared" si="0"/>
        <v>E:\DATABASE\AXE_CORE_LOG.bak.mdf</v>
      </c>
      <c r="E18" s="30" t="str">
        <f t="shared" si="1"/>
        <v>E:\DATABASE\AXE_CORE_LOG.bak.ldf</v>
      </c>
      <c r="F18" s="12"/>
      <c r="G18"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''E:\BACKUP\AXE_CORE_LOG.bak''');
UPDATE #FileList SET PhysicalPath = 'E:\BACKUP\AXE_CORE_LOG.bak' WHERE PhysicalPath IS NULL;
set @DataLogicalName = (select LogicalName FROM #FileList WHERE Type = 'D' AND PhysicalPath = 'E:\BACKUP\AXE_CORE_LOG.bak');
set @LogLogicalName = (select LogicalName FROM #FileList WHERE Type = 'L' AND PhysicalPath = 'E:\BACKUP\AXE_CORE_LOG.bak');
RESTORE DATABASE AXE_CORE_LOG.bak FROM DISK = 'E:\BACKUP\AXE_CORE_LOG.bak'
WITH 
MOVE @DataLogicalName TO 'E:\DATABASE\AXE_CORE_LOG.bak.mdf',
MOVE @LogLogicalName TO 'E:\DATABASE\AXE_CORE_LOG.bak.ldf', REPLACE;EXEC AXE_CORE_LOG.bak.sys.sp_executesql N'CREATE USER dev FOR LOGIN dev';
EXEC AXE_CORE_LOG.bak.sys.sp_executesql N'ALTER ROLE db_owner ADD MEMBER dev';</v>
      </c>
    </row>
    <row r="19" spans="1:7" x14ac:dyDescent="0.25">
      <c r="A19" s="28" t="s">
        <v>66</v>
      </c>
      <c r="B19" s="30" t="str">
        <f>B3&amp;A19</f>
        <v>E:\BACKUP\AXE_CORE_MSG.bak</v>
      </c>
      <c r="C19" s="28" t="s">
        <v>66</v>
      </c>
      <c r="D19" s="30" t="str">
        <f t="shared" si="0"/>
        <v>E:\DATABASE\AXE_CORE_MSG.bak.mdf</v>
      </c>
      <c r="E19" s="30" t="str">
        <f t="shared" si="1"/>
        <v>E:\DATABASE\AXE_CORE_MSG.bak.ldf</v>
      </c>
      <c r="F19" s="12"/>
      <c r="G19"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''E:\BACKUP\AXE_CORE_MSG.bak''');
UPDATE #FileList SET PhysicalPath = 'E:\BACKUP\AXE_CORE_MSG.bak' WHERE PhysicalPath IS NULL;
set @DataLogicalName = (select LogicalName FROM #FileList WHERE Type = 'D' AND PhysicalPath = 'E:\BACKUP\AXE_CORE_MSG.bak');
set @LogLogicalName = (select LogicalName FROM #FileList WHERE Type = 'L' AND PhysicalPath = 'E:\BACKUP\AXE_CORE_MSG.bak');
RESTORE DATABASE AXE_CORE_MSG.bak FROM DISK = 'E:\BACKUP\AXE_CORE_MSG.bak'
WITH 
MOVE @DataLogicalName TO 'E:\DATABASE\AXE_CORE_MSG.bak.mdf',
MOVE @LogLogicalName TO 'E:\DATABASE\AXE_CORE_MSG.bak.ldf', REPLACE;EXEC AXE_CORE_MSG.bak.sys.sp_executesql N'CREATE USER dev FOR LOGIN dev';
EXEC AXE_CORE_MSG.bak.sys.sp_executesql N'ALTER ROLE db_owner ADD MEMBER dev';</v>
      </c>
    </row>
    <row r="20" spans="1:7" x14ac:dyDescent="0.25">
      <c r="A20" s="28" t="s">
        <v>67</v>
      </c>
      <c r="B20" s="30" t="str">
        <f>B3&amp;A20</f>
        <v>E:\BACKUP\AXE_CORE_STG.bak</v>
      </c>
      <c r="C20" s="28" t="s">
        <v>67</v>
      </c>
      <c r="D20" s="30" t="str">
        <f t="shared" si="0"/>
        <v>E:\DATABASE\AXE_CORE_STG.bak.mdf</v>
      </c>
      <c r="E20" s="30" t="str">
        <f t="shared" si="1"/>
        <v>E:\DATABASE\AXE_CORE_STG.bak.ldf</v>
      </c>
      <c r="F20" s="12"/>
      <c r="G20"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''E:\BACKUP\AXE_CORE_STG.bak''');
UPDATE #FileList SET PhysicalPath = 'E:\BACKUP\AXE_CORE_STG.bak' WHERE PhysicalPath IS NULL;
set @DataLogicalName = (select LogicalName FROM #FileList WHERE Type = 'D' AND PhysicalPath = 'E:\BACKUP\AXE_CORE_STG.bak');
set @LogLogicalName = (select LogicalName FROM #FileList WHERE Type = 'L' AND PhysicalPath = 'E:\BACKUP\AXE_CORE_STG.bak');
RESTORE DATABASE AXE_CORE_STG.bak FROM DISK = 'E:\BACKUP\AXE_CORE_STG.bak'
WITH 
MOVE @DataLogicalName TO 'E:\DATABASE\AXE_CORE_STG.bak.mdf',
MOVE @LogLogicalName TO 'E:\DATABASE\AXE_CORE_STG.bak.ldf', REPLACE;EXEC AXE_CORE_STG.bak.sys.sp_executesql N'CREATE USER dev FOR LOGIN dev';
EXEC AXE_CORE_STG.bak.sys.sp_executesql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opLeftCell="B1" workbookViewId="0">
      <selection activeCell="D2" sqref="D2"/>
    </sheetView>
  </sheetViews>
  <sheetFormatPr defaultRowHeight="14.4" x14ac:dyDescent="0.3"/>
  <cols>
    <col min="1" max="1" width="39.6640625" bestFit="1" customWidth="1"/>
    <col min="2" max="2" width="50.44140625" bestFit="1" customWidth="1"/>
    <col min="3" max="3" width="34" customWidth="1"/>
    <col min="4" max="4" width="97.88671875" customWidth="1"/>
  </cols>
  <sheetData>
    <row r="1" spans="1:4" x14ac:dyDescent="0.3">
      <c r="A1" s="1" t="s">
        <v>1</v>
      </c>
      <c r="B1" s="1" t="s">
        <v>2</v>
      </c>
      <c r="C1" s="8" t="s">
        <v>3</v>
      </c>
    </row>
    <row r="2" spans="1:4" x14ac:dyDescent="0.3">
      <c r="A2" s="6" t="s">
        <v>68</v>
      </c>
      <c r="B2" s="7" t="s">
        <v>69</v>
      </c>
      <c r="C2" s="9"/>
      <c r="D2" t="s">
        <v>70</v>
      </c>
    </row>
    <row r="3" spans="1:4" x14ac:dyDescent="0.3">
      <c r="A3" s="6" t="s">
        <v>71</v>
      </c>
      <c r="B3" s="7" t="s">
        <v>72</v>
      </c>
      <c r="C3" s="9"/>
    </row>
    <row r="4" spans="1:4" x14ac:dyDescent="0.3">
      <c r="A4" s="6" t="s">
        <v>73</v>
      </c>
      <c r="B4" s="7" t="s">
        <v>74</v>
      </c>
      <c r="C4" s="9"/>
      <c r="D4" t="s">
        <v>75</v>
      </c>
    </row>
    <row r="5" spans="1:4" x14ac:dyDescent="0.3">
      <c r="A5" s="6" t="s">
        <v>76</v>
      </c>
      <c r="B5" s="7" t="s">
        <v>77</v>
      </c>
      <c r="C5" s="9"/>
    </row>
    <row r="6" spans="1:4" x14ac:dyDescent="0.3">
      <c r="A6" s="5"/>
      <c r="B6" s="10"/>
      <c r="C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Normal="100" workbookViewId="0">
      <selection activeCell="A20" sqref="A20"/>
    </sheetView>
  </sheetViews>
  <sheetFormatPr defaultColWidth="8.88671875" defaultRowHeight="14.4" x14ac:dyDescent="0.3"/>
  <cols>
    <col min="1" max="1" width="23.44140625" bestFit="1" customWidth="1"/>
    <col min="2" max="2" width="35.33203125" bestFit="1" customWidth="1"/>
    <col min="3" max="3" width="41.44140625" bestFit="1" customWidth="1"/>
    <col min="4" max="4" width="5.44140625" bestFit="1" customWidth="1"/>
    <col min="5" max="5" width="5.33203125" bestFit="1" customWidth="1"/>
    <col min="6" max="6" width="19.44140625" bestFit="1" customWidth="1"/>
    <col min="7" max="7" width="5.33203125" bestFit="1" customWidth="1"/>
    <col min="8" max="8" width="135.44140625" bestFit="1" customWidth="1"/>
    <col min="10" max="10" width="15" bestFit="1" customWidth="1"/>
    <col min="11" max="11" width="10.109375" bestFit="1" customWidth="1"/>
    <col min="12" max="12" width="36.44140625" bestFit="1" customWidth="1"/>
    <col min="13" max="13" width="19.44140625" bestFit="1" customWidth="1"/>
  </cols>
  <sheetData>
    <row r="1" spans="1:8" x14ac:dyDescent="0.3">
      <c r="G1" s="4"/>
    </row>
    <row r="2" spans="1:8" ht="35.25" customHeight="1" x14ac:dyDescent="0.3">
      <c r="A2" s="54" t="s">
        <v>13</v>
      </c>
      <c r="B2" s="54"/>
      <c r="C2" s="54"/>
      <c r="G2" s="4"/>
      <c r="H2" s="3" t="s">
        <v>78</v>
      </c>
    </row>
    <row r="3" spans="1:8" x14ac:dyDescent="0.3">
      <c r="A3" s="1" t="s">
        <v>14</v>
      </c>
      <c r="B3" s="1" t="s">
        <v>15</v>
      </c>
      <c r="C3" s="1" t="s">
        <v>16</v>
      </c>
      <c r="G3" s="4"/>
      <c r="H3" s="1"/>
    </row>
    <row r="4" spans="1:8" x14ac:dyDescent="0.3">
      <c r="A4" s="2" t="s">
        <v>79</v>
      </c>
      <c r="B4" s="2" t="s">
        <v>17</v>
      </c>
      <c r="C4" s="2" t="s">
        <v>18</v>
      </c>
      <c r="G4" s="4"/>
      <c r="H4" s="2" t="str">
        <f>IF(A4="","","c:\Windows\system32\inetsrv\appcmd add apppool /name:"&amp;A4&amp;" /managedRuntimeVersion:"&amp;B4&amp;" /managedPipelineMode:"&amp;C4&amp;"")</f>
        <v>c:\Windows\system32\inetsrv\appcmd add apppool /name:MMDS-ConfigAPI /managedRuntimeVersion:v4.0 /managedPipelineMode:Integrated</v>
      </c>
    </row>
    <row r="5" spans="1:8" x14ac:dyDescent="0.3">
      <c r="A5" s="2" t="s">
        <v>80</v>
      </c>
      <c r="B5" s="2" t="s">
        <v>17</v>
      </c>
      <c r="C5" s="2" t="s">
        <v>18</v>
      </c>
      <c r="G5" s="4"/>
      <c r="H5" s="2" t="str">
        <f t="shared" ref="H5:H13" si="0">IF(A5="","","c:\Windows\system32\inetsrv\appcmd add apppool /name:"&amp;A5&amp;" /managedRuntimeVersion:"&amp;B5&amp;" /managedPipelineMode:"&amp;C5&amp;"")</f>
        <v>c:\Windows\system32\inetsrv\appcmd add apppool /name:MMDS-File /managedRuntimeVersion:v4.0 /managedPipelineMode:Integrated</v>
      </c>
    </row>
    <row r="6" spans="1:8" x14ac:dyDescent="0.3">
      <c r="A6" s="2" t="s">
        <v>81</v>
      </c>
      <c r="B6" s="2" t="s">
        <v>17</v>
      </c>
      <c r="C6" s="2" t="s">
        <v>18</v>
      </c>
      <c r="G6" s="4"/>
      <c r="H6" s="2" t="str">
        <f t="shared" si="0"/>
        <v>c:\Windows\system32\inetsrv\appcmd add apppool /name:MMDS-Hangfire /managedRuntimeVersion:v4.0 /managedPipelineMode:Integrated</v>
      </c>
    </row>
    <row r="7" spans="1:8" x14ac:dyDescent="0.3">
      <c r="A7" s="2" t="s">
        <v>82</v>
      </c>
      <c r="B7" s="2" t="s">
        <v>17</v>
      </c>
      <c r="C7" s="2" t="s">
        <v>18</v>
      </c>
      <c r="G7" s="4"/>
      <c r="H7" s="2" t="str">
        <f t="shared" si="0"/>
        <v>c:\Windows\system32\inetsrv\appcmd add apppool /name:MMDS-Lgsp /managedRuntimeVersion:v4.0 /managedPipelineMode:Integrated</v>
      </c>
    </row>
    <row r="8" spans="1:8" x14ac:dyDescent="0.3">
      <c r="A8" s="2" t="s">
        <v>83</v>
      </c>
      <c r="B8" s="2" t="s">
        <v>17</v>
      </c>
      <c r="C8" s="2" t="s">
        <v>18</v>
      </c>
      <c r="G8" s="4"/>
      <c r="H8" s="2" t="str">
        <f t="shared" si="0"/>
        <v>c:\Windows\system32\inetsrv\appcmd add apppool /name:MMDS-Log /managedRuntimeVersion:v4.0 /managedPipelineMode:Integrated</v>
      </c>
    </row>
    <row r="9" spans="1:8" x14ac:dyDescent="0.3">
      <c r="A9" s="2" t="s">
        <v>84</v>
      </c>
      <c r="B9" s="2" t="s">
        <v>17</v>
      </c>
      <c r="C9" s="2" t="s">
        <v>18</v>
      </c>
      <c r="G9" s="4"/>
      <c r="H9" s="2" t="str">
        <f t="shared" si="0"/>
        <v>c:\Windows\system32\inetsrv\appcmd add apppool /name:MMDS-Mobile /managedRuntimeVersion:v4.0 /managedPipelineMode:Integrated</v>
      </c>
    </row>
    <row r="10" spans="1:8" x14ac:dyDescent="0.3">
      <c r="A10" s="2" t="s">
        <v>85</v>
      </c>
      <c r="B10" s="2" t="s">
        <v>17</v>
      </c>
      <c r="C10" s="2" t="s">
        <v>18</v>
      </c>
      <c r="G10" s="4"/>
      <c r="H10" s="2" t="str">
        <f t="shared" si="0"/>
        <v>c:\Windows\system32\inetsrv\appcmd add apppool /name:MMDS-Notify /managedRuntimeVersion:v4.0 /managedPipelineMode:Integrated</v>
      </c>
    </row>
    <row r="11" spans="1:8" x14ac:dyDescent="0.3">
      <c r="A11" s="2" t="s">
        <v>86</v>
      </c>
      <c r="B11" s="2" t="s">
        <v>17</v>
      </c>
      <c r="C11" s="2" t="s">
        <v>18</v>
      </c>
      <c r="G11" s="4"/>
      <c r="H11" s="2" t="str">
        <f t="shared" si="0"/>
        <v>c:\Windows\system32\inetsrv\appcmd add apppool /name:MMDS-OCR /managedRuntimeVersion:v4.0 /managedPipelineMode:Integrated</v>
      </c>
    </row>
    <row r="12" spans="1:8" x14ac:dyDescent="0.3">
      <c r="A12" s="2" t="s">
        <v>87</v>
      </c>
      <c r="B12" s="2" t="s">
        <v>17</v>
      </c>
      <c r="C12" s="2" t="s">
        <v>18</v>
      </c>
      <c r="G12" s="4"/>
      <c r="H12" s="2" t="str">
        <f t="shared" si="0"/>
        <v>c:\Windows\system32\inetsrv\appcmd add apppool /name:MMDS-Portal /managedRuntimeVersion:v4.0 /managedPipelineMode:Integrated</v>
      </c>
    </row>
    <row r="13" spans="1:8" x14ac:dyDescent="0.3">
      <c r="A13" s="2" t="s">
        <v>88</v>
      </c>
      <c r="B13" s="2" t="s">
        <v>17</v>
      </c>
      <c r="C13" s="2" t="s">
        <v>18</v>
      </c>
      <c r="G13" s="4"/>
      <c r="H13" s="2" t="str">
        <f t="shared" si="0"/>
        <v>c:\Windows\system32\inetsrv\appcmd add apppool /name:MMDS-Web /managedRuntimeVersion:v4.0 /managedPipelineMode:Integrated</v>
      </c>
    </row>
    <row r="14" spans="1:8" x14ac:dyDescent="0.3">
      <c r="A14" s="2"/>
      <c r="B14" s="2"/>
      <c r="C14" s="2"/>
      <c r="G14" s="4"/>
      <c r="H14" s="2" t="str">
        <f>IF(A14="","","%systemroot%\system32\inetsrv\appcmd add apppool /name:"&amp;A14&amp;" /managedRuntimeVersion:"&amp;B14&amp;" /managedPipelineMode:"&amp;C14&amp;"")</f>
        <v/>
      </c>
    </row>
    <row r="15" spans="1:8" x14ac:dyDescent="0.3">
      <c r="A15" s="51" t="s">
        <v>19</v>
      </c>
      <c r="B15" s="52"/>
      <c r="C15" s="52"/>
      <c r="D15" s="52"/>
      <c r="E15" s="52"/>
      <c r="F15" s="53"/>
      <c r="G15" s="4"/>
      <c r="H15" s="1"/>
    </row>
    <row r="16" spans="1:8" x14ac:dyDescent="0.3">
      <c r="A16" s="1" t="s">
        <v>20</v>
      </c>
      <c r="B16" s="1" t="s">
        <v>21</v>
      </c>
      <c r="C16" s="1" t="s">
        <v>22</v>
      </c>
      <c r="D16" s="1" t="s">
        <v>23</v>
      </c>
      <c r="E16" s="1" t="s">
        <v>24</v>
      </c>
      <c r="F16" s="1" t="s">
        <v>14</v>
      </c>
      <c r="G16" s="4"/>
      <c r="H16" s="1"/>
    </row>
    <row r="17" spans="1:8" x14ac:dyDescent="0.3">
      <c r="A17" s="2" t="s">
        <v>79</v>
      </c>
      <c r="B17" s="2" t="s">
        <v>89</v>
      </c>
      <c r="C17" s="2" t="s">
        <v>25</v>
      </c>
      <c r="D17" s="2">
        <v>8090</v>
      </c>
      <c r="E17" s="2"/>
      <c r="F17" s="2" t="s">
        <v>79</v>
      </c>
      <c r="G17" s="4"/>
      <c r="H17" s="2" t="str">
        <f>IF(A17="","","c:\Windows\system32\inetsrv\appcmd add site /name:"&amp;A17&amp;" /physicalPath:"&amp;B17&amp;" /bindings:"&amp;C17&amp;"/*:"&amp;D17&amp;":"&amp;E17&amp;"" )</f>
        <v>c:\Windows\system32\inetsrv\appcmd add site /name:MMDS-ConfigAPI /physicalPath:"E:\SourceWeb\DAS-MMDS\ConfigAPI" /bindings:http/*:8090:</v>
      </c>
    </row>
    <row r="18" spans="1:8" x14ac:dyDescent="0.3">
      <c r="A18" s="2" t="s">
        <v>80</v>
      </c>
      <c r="B18" s="2" t="s">
        <v>90</v>
      </c>
      <c r="C18" s="2" t="s">
        <v>25</v>
      </c>
      <c r="D18" s="2">
        <v>8089</v>
      </c>
      <c r="E18" s="2"/>
      <c r="F18" s="2" t="s">
        <v>80</v>
      </c>
      <c r="G18" s="4"/>
      <c r="H18" s="2" t="str">
        <f t="shared" ref="H18:H26" si="1">IF(A18="","","c:\Windows\system32\inetsrv\appcmd add site /name:"&amp;A18&amp;" /physicalPath:"&amp;B18&amp;" /bindings:"&amp;C18&amp;"/*:"&amp;D18&amp;":"&amp;E18&amp;"" )</f>
        <v>c:\Windows\system32\inetsrv\appcmd add site /name:MMDS-File /physicalPath:"E:\SourceWeb\DAS-MMDS\File" /bindings:http/*:8089:</v>
      </c>
    </row>
    <row r="19" spans="1:8" x14ac:dyDescent="0.3">
      <c r="A19" s="2" t="s">
        <v>81</v>
      </c>
      <c r="B19" s="2" t="s">
        <v>91</v>
      </c>
      <c r="C19" s="2" t="s">
        <v>25</v>
      </c>
      <c r="D19" s="2">
        <v>8088</v>
      </c>
      <c r="E19" s="2"/>
      <c r="F19" s="2" t="s">
        <v>81</v>
      </c>
      <c r="G19" s="4"/>
      <c r="H19" s="2" t="str">
        <f t="shared" si="1"/>
        <v>c:\Windows\system32\inetsrv\appcmd add site /name:MMDS-Hangfire /physicalPath:"E:\SourceWeb\DAS-MMDS\Hangfire" /bindings:http/*:8088:</v>
      </c>
    </row>
    <row r="20" spans="1:8" x14ac:dyDescent="0.3">
      <c r="A20" s="2" t="s">
        <v>82</v>
      </c>
      <c r="B20" s="2" t="s">
        <v>92</v>
      </c>
      <c r="C20" s="2" t="s">
        <v>25</v>
      </c>
      <c r="D20" s="2">
        <v>8087</v>
      </c>
      <c r="E20" s="2"/>
      <c r="F20" s="2" t="s">
        <v>82</v>
      </c>
      <c r="G20" s="4"/>
      <c r="H20" s="2" t="str">
        <f t="shared" si="1"/>
        <v>c:\Windows\system32\inetsrv\appcmd add site /name:MMDS-Lgsp /physicalPath:"E:\SourceWeb\DAS-MMDS\Lgsp" /bindings:http/*:8087:</v>
      </c>
    </row>
    <row r="21" spans="1:8" x14ac:dyDescent="0.3">
      <c r="A21" s="2" t="s">
        <v>83</v>
      </c>
      <c r="B21" s="2" t="s">
        <v>93</v>
      </c>
      <c r="C21" s="2" t="s">
        <v>25</v>
      </c>
      <c r="D21" s="2">
        <v>8086</v>
      </c>
      <c r="E21" s="2"/>
      <c r="F21" s="2" t="s">
        <v>83</v>
      </c>
      <c r="G21" s="4"/>
      <c r="H21" s="2" t="str">
        <f t="shared" si="1"/>
        <v>c:\Windows\system32\inetsrv\appcmd add site /name:MMDS-Log /physicalPath:"E:\SourceWeb\DAS-MMDS\Log" /bindings:http/*:8086:</v>
      </c>
    </row>
    <row r="22" spans="1:8" x14ac:dyDescent="0.3">
      <c r="A22" s="2" t="s">
        <v>84</v>
      </c>
      <c r="B22" s="2" t="s">
        <v>94</v>
      </c>
      <c r="C22" s="2" t="s">
        <v>25</v>
      </c>
      <c r="D22" s="2">
        <v>8085</v>
      </c>
      <c r="E22" s="2"/>
      <c r="F22" s="2" t="s">
        <v>84</v>
      </c>
      <c r="G22" s="4"/>
      <c r="H22" s="2" t="str">
        <f t="shared" si="1"/>
        <v>c:\Windows\system32\inetsrv\appcmd add site /name:MMDS-Mobile /physicalPath:"E:\SourceWeb\DAS-MMDS\Mobile" /bindings:http/*:8085:</v>
      </c>
    </row>
    <row r="23" spans="1:8" x14ac:dyDescent="0.3">
      <c r="A23" s="2" t="s">
        <v>85</v>
      </c>
      <c r="B23" s="2" t="s">
        <v>95</v>
      </c>
      <c r="C23" s="2" t="s">
        <v>25</v>
      </c>
      <c r="D23" s="2">
        <v>8084</v>
      </c>
      <c r="E23" s="2"/>
      <c r="F23" s="2" t="s">
        <v>85</v>
      </c>
      <c r="G23" s="4"/>
      <c r="H23" s="2" t="str">
        <f t="shared" si="1"/>
        <v>c:\Windows\system32\inetsrv\appcmd add site /name:MMDS-Notify /physicalPath:"E:\SourceWeb\DAS-MMDS\Notify" /bindings:http/*:8084:</v>
      </c>
    </row>
    <row r="24" spans="1:8" x14ac:dyDescent="0.3">
      <c r="A24" s="2" t="s">
        <v>86</v>
      </c>
      <c r="B24" s="2" t="s">
        <v>96</v>
      </c>
      <c r="C24" s="2" t="s">
        <v>25</v>
      </c>
      <c r="D24" s="2">
        <v>8083</v>
      </c>
      <c r="E24" s="2"/>
      <c r="F24" s="2" t="s">
        <v>86</v>
      </c>
      <c r="G24" s="4"/>
      <c r="H24" s="2" t="str">
        <f t="shared" si="1"/>
        <v>c:\Windows\system32\inetsrv\appcmd add site /name:MMDS-OCR /physicalPath:"E:\SourceWeb\DAS-MMDS\OCR" /bindings:http/*:8083:</v>
      </c>
    </row>
    <row r="25" spans="1:8" x14ac:dyDescent="0.3">
      <c r="A25" s="2" t="s">
        <v>87</v>
      </c>
      <c r="B25" s="2" t="s">
        <v>97</v>
      </c>
      <c r="C25" s="2" t="s">
        <v>25</v>
      </c>
      <c r="D25" s="2">
        <v>8082</v>
      </c>
      <c r="E25" s="2"/>
      <c r="F25" s="2" t="s">
        <v>87</v>
      </c>
      <c r="G25" s="4"/>
      <c r="H25" s="2" t="str">
        <f t="shared" si="1"/>
        <v>c:\Windows\system32\inetsrv\appcmd add site /name:MMDS-Portal /physicalPath:"E:\SourceWeb\DAS-MMDS\Portal" /bindings:http/*:8082:</v>
      </c>
    </row>
    <row r="26" spans="1:8" x14ac:dyDescent="0.3">
      <c r="A26" s="2" t="s">
        <v>88</v>
      </c>
      <c r="B26" s="2" t="s">
        <v>98</v>
      </c>
      <c r="C26" s="2" t="s">
        <v>25</v>
      </c>
      <c r="D26" s="2">
        <v>8081</v>
      </c>
      <c r="E26" s="2"/>
      <c r="F26" s="2" t="s">
        <v>88</v>
      </c>
      <c r="G26" s="4"/>
      <c r="H26" s="2" t="str">
        <f t="shared" si="1"/>
        <v>c:\Windows\system32\inetsrv\appcmd add site /name:MMDS-Web /physicalPath:"E:\SourceWeb\DAS-MMDS\Web" /bindings:http/*:8081:</v>
      </c>
    </row>
    <row r="27" spans="1:8" x14ac:dyDescent="0.3">
      <c r="A27" s="2"/>
      <c r="B27" s="2"/>
      <c r="C27" s="2"/>
      <c r="G27" s="4"/>
      <c r="H27" s="2" t="str">
        <f>IF(A27="","","%systemroot%\system32\inetsrv\appcmd add app  /site.name:"&amp;B27&amp;" /path:/"&amp;A27&amp;" /physicalPath:"&amp;C27&amp;"")</f>
        <v/>
      </c>
    </row>
    <row r="28" spans="1:8" x14ac:dyDescent="0.3">
      <c r="A28" s="54" t="s">
        <v>99</v>
      </c>
      <c r="B28" s="54"/>
      <c r="C28" s="54"/>
      <c r="H28" s="1"/>
    </row>
    <row r="29" spans="1:8" x14ac:dyDescent="0.3">
      <c r="A29" s="1" t="s">
        <v>28</v>
      </c>
      <c r="B29" s="1"/>
      <c r="C29" s="1" t="s">
        <v>14</v>
      </c>
      <c r="H29" s="1"/>
    </row>
    <row r="30" spans="1:8" x14ac:dyDescent="0.3">
      <c r="A30" s="2" t="s">
        <v>79</v>
      </c>
      <c r="B30" s="2"/>
      <c r="C30" s="2" t="s">
        <v>79</v>
      </c>
      <c r="H30" s="2" t="str">
        <f>IF(C30="","","c:\Windows\system32\inetsrv\appcmd set app "&amp;A30&amp;"/  /"&amp;"applicationPool:"&amp;C30&amp;"")</f>
        <v>c:\Windows\system32\inetsrv\appcmd set app MMDS-ConfigAPI/  /applicationPool:MMDS-ConfigAPI</v>
      </c>
    </row>
    <row r="31" spans="1:8" x14ac:dyDescent="0.3">
      <c r="A31" s="2" t="s">
        <v>80</v>
      </c>
      <c r="B31" s="2"/>
      <c r="C31" s="2" t="s">
        <v>80</v>
      </c>
      <c r="H31" s="2" t="str">
        <f t="shared" ref="H31:H39" si="2">IF(C31="","","c:\Windows\system32\inetsrv\appcmd set app "&amp;A31&amp;"/  /"&amp;"applicationPool:"&amp;C31&amp;"")</f>
        <v>c:\Windows\system32\inetsrv\appcmd set app MMDS-File/  /applicationPool:MMDS-File</v>
      </c>
    </row>
    <row r="32" spans="1:8" x14ac:dyDescent="0.3">
      <c r="A32" s="2" t="s">
        <v>81</v>
      </c>
      <c r="B32" s="2"/>
      <c r="C32" s="2" t="s">
        <v>81</v>
      </c>
      <c r="H32" s="2" t="str">
        <f t="shared" si="2"/>
        <v>c:\Windows\system32\inetsrv\appcmd set app MMDS-Hangfire/  /applicationPool:MMDS-Hangfire</v>
      </c>
    </row>
    <row r="33" spans="1:8" x14ac:dyDescent="0.3">
      <c r="A33" s="2" t="s">
        <v>82</v>
      </c>
      <c r="B33" s="2"/>
      <c r="C33" s="2" t="s">
        <v>82</v>
      </c>
      <c r="H33" s="2" t="str">
        <f t="shared" si="2"/>
        <v>c:\Windows\system32\inetsrv\appcmd set app MMDS-Lgsp/  /applicationPool:MMDS-Lgsp</v>
      </c>
    </row>
    <row r="34" spans="1:8" x14ac:dyDescent="0.3">
      <c r="A34" s="2" t="s">
        <v>83</v>
      </c>
      <c r="B34" s="2"/>
      <c r="C34" s="2" t="s">
        <v>83</v>
      </c>
      <c r="H34" s="2" t="str">
        <f t="shared" si="2"/>
        <v>c:\Windows\system32\inetsrv\appcmd set app MMDS-Log/  /applicationPool:MMDS-Log</v>
      </c>
    </row>
    <row r="35" spans="1:8" x14ac:dyDescent="0.3">
      <c r="A35" s="2" t="s">
        <v>84</v>
      </c>
      <c r="B35" s="2"/>
      <c r="C35" s="2" t="s">
        <v>84</v>
      </c>
      <c r="H35" s="2" t="str">
        <f t="shared" si="2"/>
        <v>c:\Windows\system32\inetsrv\appcmd set app MMDS-Mobile/  /applicationPool:MMDS-Mobile</v>
      </c>
    </row>
    <row r="36" spans="1:8" x14ac:dyDescent="0.3">
      <c r="A36" s="2" t="s">
        <v>85</v>
      </c>
      <c r="B36" s="2"/>
      <c r="C36" s="2" t="s">
        <v>85</v>
      </c>
      <c r="H36" s="2" t="str">
        <f t="shared" si="2"/>
        <v>c:\Windows\system32\inetsrv\appcmd set app MMDS-Notify/  /applicationPool:MMDS-Notify</v>
      </c>
    </row>
    <row r="37" spans="1:8" x14ac:dyDescent="0.3">
      <c r="A37" s="2" t="s">
        <v>86</v>
      </c>
      <c r="B37" s="2"/>
      <c r="C37" s="2" t="s">
        <v>86</v>
      </c>
      <c r="H37" s="2" t="str">
        <f t="shared" si="2"/>
        <v>c:\Windows\system32\inetsrv\appcmd set app MMDS-OCR/  /applicationPool:MMDS-OCR</v>
      </c>
    </row>
    <row r="38" spans="1:8" x14ac:dyDescent="0.3">
      <c r="A38" s="2" t="s">
        <v>87</v>
      </c>
      <c r="B38" s="2"/>
      <c r="C38" s="2" t="s">
        <v>87</v>
      </c>
      <c r="H38" s="2" t="str">
        <f t="shared" si="2"/>
        <v>c:\Windows\system32\inetsrv\appcmd set app MMDS-Portal/  /applicationPool:MMDS-Portal</v>
      </c>
    </row>
    <row r="39" spans="1:8" x14ac:dyDescent="0.3">
      <c r="A39" s="2" t="s">
        <v>88</v>
      </c>
      <c r="B39" s="2"/>
      <c r="C39" s="2" t="s">
        <v>88</v>
      </c>
      <c r="H39" s="2" t="str">
        <f t="shared" si="2"/>
        <v>c:\Windows\system32\inetsrv\appcmd set app MMDS-Web/  /applicationPool:MMDS-Web</v>
      </c>
    </row>
  </sheetData>
  <mergeCells count="3">
    <mergeCell ref="A15:F15"/>
    <mergeCell ref="A28:C28"/>
    <mergeCell ref="A2:C2"/>
  </mergeCells>
  <dataValidations count="4">
    <dataValidation type="list" allowBlank="1" showInputMessage="1" showErrorMessage="1" sqref="C1463:C1048576 C3:C14" xr:uid="{00000000-0002-0000-0300-000000000000}">
      <formula1>"Integrated,Classic"</formula1>
    </dataValidation>
    <dataValidation type="list" allowBlank="1" showInputMessage="1" showErrorMessage="1" sqref="G439:G1048576 C15:C26 G15:G27" xr:uid="{00000000-0002-0000-0300-000001000000}">
      <formula1>"http,https"</formula1>
    </dataValidation>
    <dataValidation type="list" allowBlank="1" showInputMessage="1" showErrorMessage="1" sqref="C29 H439:H1048576 M439:M1048576 H15:H16 E4:E14 H3 H28:H29 M1:M27 I28:I438" xr:uid="{00000000-0002-0000-0300-000002000000}">
      <formula1>$A$4:$A$14</formula1>
    </dataValidation>
    <dataValidation type="list" allowBlank="1" showInputMessage="1" showErrorMessage="1" sqref="K439:K1048576 G2:G3 B27 K1:K27 G28:G438" xr:uid="{00000000-0002-0000-0300-000003000000}">
      <formula1>$E$4:$E$14</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DEE16B-9D1D-4FD0-B127-E14D995BDF2D}">
  <ds:schemaRefs>
    <ds:schemaRef ds:uri="http://schemas.microsoft.com/sharepoint/v3/contenttype/forms"/>
  </ds:schemaRefs>
</ds:datastoreItem>
</file>

<file path=customXml/itemProps2.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3.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AX-DMS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2026-05-07T03:14:36Z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